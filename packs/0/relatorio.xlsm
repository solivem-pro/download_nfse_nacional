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contabil24\Documents\0.obsidian\z.Scripts\download_nfse_nacional\packs\0\"/>
    </mc:Choice>
  </mc:AlternateContent>
  <xr:revisionPtr revIDLastSave="0" documentId="13_ncr:1_{667EDD12-7EB9-4E94-AC1B-068EF736FFAB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TOMADOS" sheetId="2" r:id="rId1"/>
    <sheet name="PRESTADOS" sheetId="3" r:id="rId2"/>
    <sheet name="EVENTOS" sheetId="4" r:id="rId3"/>
    <sheet name="alvo" sheetId="5" state="hidden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3" i="2" l="1"/>
  <c r="O3" i="3"/>
  <c r="G3" i="4"/>
  <c r="M3" i="2"/>
  <c r="N3" i="3"/>
  <c r="M3" i="3"/>
  <c r="L3" i="3"/>
  <c r="N3" i="2" l="1"/>
  <c r="L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8EF6DF9-2A88-42F3-84A6-ABAFAEA5BD6A}" name="autorizada" type="4" refreshedVersion="0" background="1">
    <webPr xml="1" sourceData="1" url="C:\Users\contabil24\Documents\0.obsidian\z.Scripts\NFSe_Nacional_Download\teste\autorizada.xml" htmlTables="1" htmlFormat="all"/>
  </connection>
</connections>
</file>

<file path=xl/sharedStrings.xml><?xml version="1.0" encoding="utf-8"?>
<sst xmlns="http://schemas.openxmlformats.org/spreadsheetml/2006/main" count="41" uniqueCount="24">
  <si>
    <t>Total</t>
  </si>
  <si>
    <t>chave</t>
  </si>
  <si>
    <t>CNPJ ALVO</t>
  </si>
  <si>
    <t>N° NFSe</t>
  </si>
  <si>
    <t>Data Emissão</t>
  </si>
  <si>
    <t>Local Incidência</t>
  </si>
  <si>
    <t>CNPJ Prestador</t>
  </si>
  <si>
    <t>Prestador</t>
  </si>
  <si>
    <t>CNPJ Tomador</t>
  </si>
  <si>
    <t>Cód. Serviço</t>
  </si>
  <si>
    <t>NBS</t>
  </si>
  <si>
    <t>Descrição do Serviço</t>
  </si>
  <si>
    <t>Valor Serviço</t>
  </si>
  <si>
    <t>Total Retenções</t>
  </si>
  <si>
    <t>Valor Líquido</t>
  </si>
  <si>
    <t>Tomador</t>
  </si>
  <si>
    <t>N° Dfe</t>
  </si>
  <si>
    <t>Data</t>
  </si>
  <si>
    <t>CNPJ Autor</t>
  </si>
  <si>
    <t>Tipo Emissão</t>
  </si>
  <si>
    <t>Evento</t>
  </si>
  <si>
    <t>Motivo</t>
  </si>
  <si>
    <t>Chave</t>
  </si>
  <si>
    <t>Competência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</si>
</sst>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[&lt;100000000000]000&quot;.&quot;000&quot;.&quot;000&quot;-&quot;00;[&gt;=100000000000]00&quot;.&quot;000&quot;.&quot;000&quot;/&quot;0000&quot;-&quot;0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Consolas"/>
      <family val="3"/>
    </font>
    <font>
      <b/>
      <sz val="9"/>
      <name val="Consolas"/>
      <family val="3"/>
    </font>
    <font>
      <sz val="9"/>
      <color theme="1"/>
      <name val="Consolas"/>
      <family val="3"/>
    </font>
    <font>
      <sz val="11"/>
      <color theme="1"/>
      <name val="Consolas"/>
      <family val="3"/>
    </font>
    <font>
      <b/>
      <sz val="9"/>
      <color theme="1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0">
    <xf numFmtId="0" fontId="0" fillId="0" borderId="0" xfId="0"/>
    <xf numFmtId="3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44" fontId="2" fillId="0" borderId="0" xfId="1" applyFont="1" applyAlignment="1">
      <alignment horizontal="center" vertical="center"/>
    </xf>
    <xf numFmtId="44" fontId="2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0" xfId="1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49" fontId="4" fillId="2" borderId="0" xfId="0" applyNumberFormat="1" applyFont="1" applyFill="1" applyAlignment="1">
      <alignment horizontal="center" vertical="center"/>
    </xf>
    <xf numFmtId="0" fontId="5" fillId="0" borderId="0" xfId="0" applyFont="1"/>
    <xf numFmtId="49" fontId="6" fillId="2" borderId="0" xfId="0" applyNumberFormat="1" applyFont="1" applyFill="1" applyAlignment="1">
      <alignment horizontal="center" vertical="center"/>
    </xf>
    <xf numFmtId="3" fontId="3" fillId="0" borderId="1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49" fontId="3" fillId="0" borderId="2" xfId="0" applyNumberFormat="1" applyFont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89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64" formatCode="[&lt;100000000000]000&quot;.&quot;000&quot;.&quot;000&quot;-&quot;00;[&gt;=100000000000]00&quot;.&quot;000&quot;.&quot;000&quot;/&quot;0000&quot;-&quot;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" formatCode="#,##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</font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64" formatCode="[&lt;100000000000]000&quot;.&quot;000&quot;.&quot;000&quot;-&quot;00;[&gt;=100000000000]00&quot;.&quot;000&quot;.&quot;000&quot;/&quot;0000&quot;-&quot;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64" formatCode="[&lt;100000000000]000&quot;.&quot;000&quot;.&quot;000&quot;-&quot;00;[&gt;=100000000000]00&quot;.&quot;000&quot;.&quot;000&quot;/&quot;0000&quot;-&quot;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64" formatCode="[&lt;100000000000]000&quot;.&quot;000&quot;.&quot;000&quot;-&quot;00;[&gt;=100000000000]00&quot;.&quot;000&quot;.&quot;000&quot;/&quot;0000&quot;-&quot;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64" formatCode="[&lt;100000000000]000&quot;.&quot;000&quot;.&quot;000&quot;-&quot;00;[&gt;=100000000000]00&quot;.&quot;000&quot;.&quot;000&quot;/&quot;0000&quot;-&quot;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64" formatCode="[&lt;100000000000]000&quot;.&quot;000&quot;.&quot;000&quot;-&quot;00;[&gt;=100000000000]00&quot;.&quot;000&quot;.&quot;000&quot;/&quot;0000&quot;-&quot;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64" formatCode="[&lt;100000000000]000&quot;.&quot;000&quot;.&quot;000&quot;-&quot;00;[&gt;=100000000000]00&quot;.&quot;000&quot;.&quot;000&quot;/&quot;0000&quot;-&quot;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64" formatCode="[&lt;100000000000]000&quot;.&quot;000&quot;.&quot;000&quot;-&quot;00;[&gt;=100000000000]00&quot;.&quot;000&quot;.&quot;000&quot;/&quot;0000&quot;-&quot;0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64" formatCode="[&lt;100000000000]000&quot;.&quot;000&quot;.&quot;000&quot;-&quot;00;[&gt;=100000000000]00&quot;.&quot;000&quot;.&quot;000&quot;/&quot;0000&quot;-&quot;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9825250-25C5-4631-8242-3F501B66456C}" name="NFSE_TOMADOS" displayName="NFSE_TOMADOS" ref="A1:O3" insertRowShift="1" totalsRowCount="1" headerRowDxfId="86" dataDxfId="85" totalsRowDxfId="84">
  <autoFilter ref="A1:O2" xr:uid="{89825250-25C5-4631-8242-3F501B66456C}"/>
  <tableColumns count="15">
    <tableColumn id="11" xr3:uid="{D6555D2A-93C6-4983-A15F-9B9979FEAF52}" name="N° NFSe" totalsRowLabel="Total" dataDxfId="83" totalsRowDxfId="82"/>
    <tableColumn id="14" xr3:uid="{7A402C0F-BC0E-4781-A4A9-8EF0A9AD481E}" name="Data Emissão" dataDxfId="81" totalsRowDxfId="80"/>
    <tableColumn id="15" xr3:uid="{5B706ED8-AC9F-4DFA-A877-9D197716F9F1}" name="Competência" dataDxfId="79" totalsRowDxfId="78"/>
    <tableColumn id="12" xr3:uid="{88287D5C-ACDE-43EF-AD8B-3193C526B803}" name="Local Incidência" dataDxfId="77" totalsRowDxfId="76"/>
    <tableColumn id="1" xr3:uid="{365926D0-8BC4-47DD-9A03-D2BFF27580AB}" name="CNPJ Prestador" dataDxfId="75" totalsRowDxfId="74"/>
    <tableColumn id="2" xr3:uid="{22871DA1-3851-434C-AD48-8662351F9491}" name="Prestador" dataDxfId="73" totalsRowDxfId="72"/>
    <tableColumn id="3" xr3:uid="{A0968B4F-EB85-437B-BA59-0880FEF09F74}" name="CNPJ Tomador" dataDxfId="71" totalsRowDxfId="70"/>
    <tableColumn id="4" xr3:uid="{6D04825A-824B-489F-A242-B45C9BA1C993}" name="Tomador" dataDxfId="69" totalsRowDxfId="68"/>
    <tableColumn id="8" xr3:uid="{A1AABD39-9729-420C-A967-8045E21E6FC1}" name="Cód. Serviço" dataDxfId="67" totalsRowDxfId="66"/>
    <tableColumn id="5" xr3:uid="{D5710C2D-D0EC-412D-A030-57ED9B6DA911}" name="NBS" dataDxfId="65" totalsRowDxfId="64"/>
    <tableColumn id="6" xr3:uid="{C627DD04-01D2-4833-9204-2D0478C744A9}" name="Descrição do Serviço" dataDxfId="63" totalsRowDxfId="62"/>
    <tableColumn id="7" xr3:uid="{693FB90F-96B7-4C3D-82C1-4CF740E03497}" name="Valor Serviço" totalsRowFunction="sum" dataDxfId="61" totalsRowDxfId="60" dataCellStyle="Moeda"/>
    <tableColumn id="9" xr3:uid="{E9D3FD05-67C7-44D9-A0A4-CCD3361CD7F5}" name="Total Retenções" totalsRowFunction="sum" dataDxfId="59" totalsRowDxfId="58" dataCellStyle="Moeda"/>
    <tableColumn id="10" xr3:uid="{957C78CA-A460-4FB3-88ED-02262BD964EC}" name="Valor Líquido" totalsRowFunction="sum" dataDxfId="57" totalsRowDxfId="56" dataCellStyle="Moeda"/>
    <tableColumn id="13" xr3:uid="{095E0959-796A-4703-8ABB-5D1AEB254E53}" name="chave" totalsRowFunction="count" dataDxfId="55" totalsRowDxfId="54" dataCellStyle="Moeda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135BD5-30CD-4249-BADB-03AD4386B1E0}" name="NFSE_PRESTADOS" displayName="NFSE_PRESTADOS" ref="A1:O3" insertRowShift="1" totalsRowCount="1" headerRowDxfId="51" dataDxfId="50" totalsRowDxfId="49">
  <autoFilter ref="A1:O2" xr:uid="{08135BD5-30CD-4249-BADB-03AD4386B1E0}"/>
  <tableColumns count="15">
    <tableColumn id="11" xr3:uid="{EF58BE20-F0AB-46CC-897D-29C666DA1B0E}" name="N° NFSe" totalsRowLabel="Total" dataDxfId="48" totalsRowDxfId="47"/>
    <tableColumn id="14" xr3:uid="{1B70523C-FDC7-4B25-8B49-E260ECFC2AB2}" name="Data Emissão" dataDxfId="46" totalsRowDxfId="45"/>
    <tableColumn id="15" xr3:uid="{D0D467DF-B4CB-4D6E-8D8E-F72E35E5731E}" name="Competência" dataDxfId="44" totalsRowDxfId="43"/>
    <tableColumn id="12" xr3:uid="{45ABAD99-EA03-44C2-8B2E-5E8CB73D4CD2}" name="Local Incidência" dataDxfId="42" totalsRowDxfId="41"/>
    <tableColumn id="1" xr3:uid="{32730482-E0F3-417C-A0B0-2376ED5FA9C1}" name="CNPJ Prestador" dataDxfId="40" totalsRowDxfId="39"/>
    <tableColumn id="2" xr3:uid="{C8211768-3D77-4697-B6DD-2EAAF9EF9DDD}" name="Prestador" dataDxfId="38" totalsRowDxfId="37"/>
    <tableColumn id="3" xr3:uid="{A659D620-0103-41AE-8EDC-5C4122897846}" name="CNPJ Tomador" dataDxfId="36" totalsRowDxfId="35"/>
    <tableColumn id="4" xr3:uid="{E5EEC15A-CC13-40FF-8FD7-AB46D222EDA8}" name="Tomador" dataDxfId="34" totalsRowDxfId="33"/>
    <tableColumn id="8" xr3:uid="{BF2C00A8-CF13-465B-99E0-600350E5E31E}" name="Cód. Serviço" dataDxfId="32" totalsRowDxfId="31"/>
    <tableColumn id="5" xr3:uid="{2ECB6EDA-6C54-4CB1-9D17-9A26395A4F61}" name="NBS" dataDxfId="30" totalsRowDxfId="29"/>
    <tableColumn id="6" xr3:uid="{611B189D-696D-4C7F-A65B-34B1F10830D4}" name="Descrição do Serviço" dataDxfId="28" totalsRowDxfId="27"/>
    <tableColumn id="7" xr3:uid="{77CD7571-77F7-40BF-870B-B0183D4CB357}" name="Valor Serviço" totalsRowFunction="sum" dataDxfId="26" totalsRowDxfId="25" dataCellStyle="Moeda"/>
    <tableColumn id="9" xr3:uid="{4477532D-FE3D-4035-98D0-7658ADC2DA97}" name="Total Retenções" totalsRowFunction="min" dataDxfId="24" totalsRowDxfId="23" dataCellStyle="Moeda"/>
    <tableColumn id="10" xr3:uid="{5B158E54-7120-445F-B5E9-E1DA67543BAF}" name="Valor Líquido" totalsRowFunction="sum" dataDxfId="22" totalsRowDxfId="21" dataCellStyle="Moeda"/>
    <tableColumn id="13" xr3:uid="{FB850683-3356-4928-A036-14244A021324}" name="chave" totalsRowFunction="count" dataDxfId="20" totalsRowDxfId="19" dataCellStyle="Moeda"/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49EFAC4-5F22-45D1-8C13-88E2E47EB100}" name="NFSE_EVENTO" displayName="NFSE_EVENTO" ref="A1:G3" totalsRowCount="1" headerRowDxfId="17" dataDxfId="15" totalsRowDxfId="14" headerRowBorderDxfId="16">
  <autoFilter ref="A1:G2" xr:uid="{349EFAC4-5F22-45D1-8C13-88E2E47EB100}"/>
  <tableColumns count="7">
    <tableColumn id="1" xr3:uid="{7A85D711-EA28-49C6-9B7F-A65832548DC6}" name="N° Dfe" totalsRowLabel="Total" dataDxfId="13" totalsRowDxfId="12"/>
    <tableColumn id="4" xr3:uid="{A0906450-755E-459F-9796-50C32FA89558}" name="Data" dataDxfId="11" totalsRowDxfId="10"/>
    <tableColumn id="2" xr3:uid="{84781329-B256-4408-8BB4-CFEDF8697DE4}" name="CNPJ Autor" dataDxfId="9" totalsRowDxfId="8"/>
    <tableColumn id="14" xr3:uid="{7FB12BF7-CB10-41FA-96BA-EE7C11B19755}" name="Tipo Emissão" dataDxfId="7" totalsRowDxfId="6"/>
    <tableColumn id="12" xr3:uid="{9A2D8940-3FEC-4EA7-844D-25E351732E9C}" name="Evento" dataDxfId="5" totalsRowDxfId="4"/>
    <tableColumn id="13" xr3:uid="{5BEF1F64-5CB4-4CEF-83D6-4BAC8BC7B6EA}" name="Motivo" dataDxfId="3" totalsRowDxfId="2"/>
    <tableColumn id="3" xr3:uid="{B9050C0A-C75D-4883-A1E2-BB07FF86D717}" name="Chave" totalsRowFunction="count" dataDxfId="1" totalsRowDxfId="0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83762-4C1C-4C8E-B5A4-4FF0A87CEECF}">
  <sheetPr codeName="Planilha1"/>
  <dimension ref="A1:O3"/>
  <sheetViews>
    <sheetView workbookViewId="0">
      <pane ySplit="1" topLeftCell="A2" activePane="bottomLeft" state="frozen"/>
      <selection pane="bottomLeft" activeCell="B29" sqref="B29"/>
    </sheetView>
  </sheetViews>
  <sheetFormatPr defaultRowHeight="12" x14ac:dyDescent="0.25"/>
  <cols>
    <col min="1" max="1" width="20.7109375" style="1" customWidth="1"/>
    <col min="2" max="2" width="17.7109375" style="2" bestFit="1" customWidth="1"/>
    <col min="3" max="3" width="17.7109375" style="2" customWidth="1"/>
    <col min="4" max="4" width="21.85546875" style="3" bestFit="1" customWidth="1"/>
    <col min="5" max="5" width="19.7109375" style="4" bestFit="1" customWidth="1"/>
    <col min="6" max="6" width="25.7109375" style="5" customWidth="1"/>
    <col min="7" max="7" width="17.7109375" style="4" bestFit="1" customWidth="1"/>
    <col min="8" max="8" width="25.7109375" style="5" customWidth="1"/>
    <col min="9" max="9" width="15.42578125" style="3" bestFit="1" customWidth="1"/>
    <col min="10" max="10" width="13.7109375" style="5" customWidth="1"/>
    <col min="11" max="11" width="30.7109375" style="3" customWidth="1"/>
    <col min="12" max="14" width="20.7109375" style="3" customWidth="1"/>
    <col min="15" max="15" width="52.7109375" style="8" customWidth="1"/>
    <col min="16" max="16384" width="9.140625" style="3"/>
  </cols>
  <sheetData>
    <row r="1" spans="1:15" ht="15.75" customHeight="1" x14ac:dyDescent="0.25">
      <c r="A1" s="1" t="s">
        <v>3</v>
      </c>
      <c r="B1" s="2" t="s">
        <v>4</v>
      </c>
      <c r="C1" s="2" t="s">
        <v>23</v>
      </c>
      <c r="D1" s="3" t="s">
        <v>5</v>
      </c>
      <c r="E1" s="4" t="s">
        <v>6</v>
      </c>
      <c r="F1" s="5" t="s">
        <v>7</v>
      </c>
      <c r="G1" s="4" t="s">
        <v>8</v>
      </c>
      <c r="H1" s="5" t="s">
        <v>15</v>
      </c>
      <c r="I1" s="3" t="s">
        <v>9</v>
      </c>
      <c r="J1" s="3" t="s">
        <v>10</v>
      </c>
      <c r="K1" s="5" t="s">
        <v>11</v>
      </c>
      <c r="L1" s="3" t="s">
        <v>12</v>
      </c>
      <c r="M1" s="3" t="s">
        <v>13</v>
      </c>
      <c r="N1" s="3" t="s">
        <v>14</v>
      </c>
      <c r="O1" s="8" t="s">
        <v>1</v>
      </c>
    </row>
    <row r="2" spans="1:15" ht="11.25" customHeight="1" x14ac:dyDescent="0.25">
      <c r="J2" s="3"/>
      <c r="K2" s="5"/>
      <c r="L2" s="6"/>
      <c r="M2" s="6"/>
      <c r="N2" s="6"/>
      <c r="O2" s="9"/>
    </row>
    <row r="3" spans="1:15" x14ac:dyDescent="0.25">
      <c r="A3" s="1" t="s">
        <v>0</v>
      </c>
      <c r="J3" s="3"/>
      <c r="K3" s="5"/>
      <c r="L3" s="7">
        <f>SUBTOTAL(109,NFSE_TOMADOS[Valor Serviço])</f>
        <v>0</v>
      </c>
      <c r="M3" s="7">
        <f>SUBTOTAL(109,NFSE_TOMADOS[Total Retenções])</f>
        <v>0</v>
      </c>
      <c r="N3" s="7">
        <f>SUBTOTAL(109,NFSE_TOMADOS[Valor Líquido])</f>
        <v>0</v>
      </c>
      <c r="O3" s="8">
        <f>SUBTOTAL(103,NFSE_TOMADOS[chave])</f>
        <v>0</v>
      </c>
    </row>
  </sheetData>
  <conditionalFormatting sqref="L2:N2">
    <cfRule type="expression" dxfId="88" priority="3">
      <formula>$L2&lt;&gt;$N2</formula>
    </cfRule>
  </conditionalFormatting>
  <conditionalFormatting sqref="B2:C2">
    <cfRule type="expression" dxfId="87" priority="1">
      <formula>MONTH($B2)&lt;&gt;MONTH($C2)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30335-AD10-4AD6-B414-2FE94792CD15}">
  <sheetPr codeName="Planilha2"/>
  <dimension ref="A1:O3"/>
  <sheetViews>
    <sheetView topLeftCell="I1" zoomScaleNormal="100" workbookViewId="0">
      <pane ySplit="1" topLeftCell="A2" activePane="bottomLeft" state="frozen"/>
      <selection pane="bottomLeft" activeCell="A3" sqref="A3:XFD3"/>
    </sheetView>
  </sheetViews>
  <sheetFormatPr defaultRowHeight="12" x14ac:dyDescent="0.25"/>
  <cols>
    <col min="1" max="1" width="20.7109375" style="1" customWidth="1"/>
    <col min="2" max="2" width="17.7109375" style="2" bestFit="1" customWidth="1"/>
    <col min="3" max="3" width="17.7109375" style="2" customWidth="1"/>
    <col min="4" max="4" width="21.85546875" style="3" bestFit="1" customWidth="1"/>
    <col min="5" max="5" width="19.7109375" style="4" bestFit="1" customWidth="1"/>
    <col min="6" max="6" width="25.7109375" style="5" customWidth="1"/>
    <col min="7" max="7" width="17.7109375" style="4" bestFit="1" customWidth="1"/>
    <col min="8" max="8" width="25.7109375" style="5" customWidth="1"/>
    <col min="9" max="9" width="15.42578125" style="3" bestFit="1" customWidth="1"/>
    <col min="10" max="10" width="13.7109375" style="3" customWidth="1"/>
    <col min="11" max="11" width="30.7109375" style="5" customWidth="1"/>
    <col min="12" max="14" width="20.7109375" style="3" customWidth="1"/>
    <col min="15" max="15" width="52.7109375" style="8" customWidth="1"/>
    <col min="16" max="16384" width="9.140625" style="3"/>
  </cols>
  <sheetData>
    <row r="1" spans="1:15" ht="15.75" customHeight="1" x14ac:dyDescent="0.25">
      <c r="A1" s="1" t="s">
        <v>3</v>
      </c>
      <c r="B1" s="2" t="s">
        <v>4</v>
      </c>
      <c r="C1" s="2" t="s">
        <v>23</v>
      </c>
      <c r="D1" s="3" t="s">
        <v>5</v>
      </c>
      <c r="E1" s="4" t="s">
        <v>6</v>
      </c>
      <c r="F1" s="5" t="s">
        <v>7</v>
      </c>
      <c r="G1" s="4" t="s">
        <v>8</v>
      </c>
      <c r="H1" s="5" t="s">
        <v>15</v>
      </c>
      <c r="I1" s="3" t="s">
        <v>9</v>
      </c>
      <c r="J1" s="3" t="s">
        <v>10</v>
      </c>
      <c r="K1" s="5" t="s">
        <v>11</v>
      </c>
      <c r="L1" s="3" t="s">
        <v>12</v>
      </c>
      <c r="M1" s="3" t="s">
        <v>13</v>
      </c>
      <c r="N1" s="3" t="s">
        <v>14</v>
      </c>
      <c r="O1" s="8" t="s">
        <v>1</v>
      </c>
    </row>
    <row r="2" spans="1:15" x14ac:dyDescent="0.25">
      <c r="K2" s="11"/>
      <c r="L2" s="6"/>
      <c r="M2" s="6"/>
      <c r="N2" s="6"/>
      <c r="O2" s="9"/>
    </row>
    <row r="3" spans="1:15" x14ac:dyDescent="0.25">
      <c r="A3" s="1" t="s">
        <v>0</v>
      </c>
      <c r="L3" s="7">
        <f>SUBTOTAL(109,NFSE_PRESTADOS[Valor Serviço])</f>
        <v>0</v>
      </c>
      <c r="M3" s="7">
        <f>SUBTOTAL(105,NFSE_PRESTADOS[Total Retenções])</f>
        <v>0</v>
      </c>
      <c r="N3" s="7">
        <f>SUBTOTAL(109,NFSE_PRESTADOS[Valor Líquido])</f>
        <v>0</v>
      </c>
      <c r="O3" s="8">
        <f>SUBTOTAL(103,NFSE_PRESTADOS[chave])</f>
        <v>0</v>
      </c>
    </row>
  </sheetData>
  <conditionalFormatting sqref="B2:C2">
    <cfRule type="expression" dxfId="53" priority="3">
      <formula>MONTH($B2)&lt;&gt;MONTH($C2)</formula>
    </cfRule>
  </conditionalFormatting>
  <conditionalFormatting sqref="L2:N2">
    <cfRule type="expression" dxfId="52" priority="2">
      <formula>$L2&lt;&gt;$N2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BC6E-F264-4606-B13B-988BDCC25BBA}">
  <sheetPr codeName="Planilha3"/>
  <dimension ref="A1:G3"/>
  <sheetViews>
    <sheetView tabSelected="1" workbookViewId="0">
      <pane ySplit="1" topLeftCell="A2" activePane="bottomLeft" state="frozen"/>
      <selection pane="bottomLeft" activeCell="B29" sqref="B29"/>
    </sheetView>
  </sheetViews>
  <sheetFormatPr defaultRowHeight="12" x14ac:dyDescent="0.25"/>
  <cols>
    <col min="1" max="1" width="20.7109375" style="1" customWidth="1"/>
    <col min="2" max="2" width="17.7109375" style="2" customWidth="1"/>
    <col min="3" max="3" width="18.85546875" style="4" customWidth="1"/>
    <col min="4" max="4" width="17.7109375" style="3" bestFit="1" customWidth="1"/>
    <col min="5" max="6" width="30.7109375" style="3" customWidth="1"/>
    <col min="7" max="7" width="52.7109375" style="8" customWidth="1"/>
    <col min="8" max="16384" width="9.140625" style="10"/>
  </cols>
  <sheetData>
    <row r="1" spans="1:7" ht="15" customHeight="1" thickBot="1" x14ac:dyDescent="0.3">
      <c r="A1" s="15" t="s">
        <v>16</v>
      </c>
      <c r="B1" s="16" t="s">
        <v>17</v>
      </c>
      <c r="C1" s="17" t="s">
        <v>18</v>
      </c>
      <c r="D1" s="18" t="s">
        <v>19</v>
      </c>
      <c r="E1" s="18" t="s">
        <v>20</v>
      </c>
      <c r="F1" s="18" t="s">
        <v>21</v>
      </c>
      <c r="G1" s="19" t="s">
        <v>22</v>
      </c>
    </row>
    <row r="2" spans="1:7" ht="12.75" thickTop="1" x14ac:dyDescent="0.25">
      <c r="D2" s="8"/>
      <c r="E2" s="8"/>
      <c r="F2" s="8"/>
    </row>
    <row r="3" spans="1:7" x14ac:dyDescent="0.25">
      <c r="A3" s="1" t="s">
        <v>0</v>
      </c>
      <c r="C3" s="3"/>
      <c r="D3" s="8"/>
      <c r="E3" s="8"/>
      <c r="F3" s="8"/>
      <c r="G3" s="3">
        <f>SUBTOTAL(103,NFSE_EVENTO[Chave])</f>
        <v>0</v>
      </c>
    </row>
  </sheetData>
  <conditionalFormatting sqref="D2">
    <cfRule type="cellIs" dxfId="18" priority="1" operator="equal">
      <formula>"Prestador"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1ABA6-884A-4F0A-9191-A045E464D1C2}">
  <sheetPr codeName="Planilha4"/>
  <dimension ref="A1:A2"/>
  <sheetViews>
    <sheetView workbookViewId="0">
      <selection sqref="A1:XFD1048576"/>
    </sheetView>
  </sheetViews>
  <sheetFormatPr defaultRowHeight="15" x14ac:dyDescent="0.25"/>
  <cols>
    <col min="1" max="1" width="15.140625" style="13" bestFit="1" customWidth="1"/>
    <col min="2" max="16384" width="9.140625" style="13"/>
  </cols>
  <sheetData>
    <row r="1" spans="1:1" x14ac:dyDescent="0.25">
      <c r="A1" s="12"/>
    </row>
    <row r="2" spans="1:1" x14ac:dyDescent="0.25">
      <c r="A2" s="14" t="s">
        <v>2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TOMADOS</vt:lpstr>
      <vt:lpstr>PRESTADOS</vt:lpstr>
      <vt:lpstr>EVENTOS</vt:lpstr>
      <vt:lpstr>alvo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Solivan.santos@almagro.com.br</dc:creator>
  <cp:lastModifiedBy>Solivan.santos@almagro.com.br</cp:lastModifiedBy>
  <dcterms:created xsi:type="dcterms:W3CDTF">2015-06-05T18:19:34Z</dcterms:created>
  <dcterms:modified xsi:type="dcterms:W3CDTF">2025-12-17T20:31:48Z</dcterms:modified>
</cp:coreProperties>
</file>